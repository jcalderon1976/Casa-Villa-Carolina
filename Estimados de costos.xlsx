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Proyeccion" state="visible" r:id="rId4"/>
    <sheet sheetId="2" name="Gastos (App)" state="visible" r:id="rId5"/>
    <sheet sheetId="3" name="Resumen (App)" state="visible" r:id="rId6"/>
  </sheets>
  <calcPr calcId="171027" fullCalcOnLoad="1"/>
</workbook>
</file>

<file path=xl/sharedStrings.xml><?xml version="1.0" encoding="utf-8"?>
<sst xmlns="http://schemas.openxmlformats.org/spreadsheetml/2006/main" count="406" uniqueCount="202">
  <si>
    <t>Casa Villa Carolina Gastos</t>
  </si>
  <si>
    <t>Total</t>
  </si>
  <si>
    <t>Tienda</t>
  </si>
  <si>
    <t>Recibo</t>
  </si>
  <si>
    <t xml:space="preserve">Deposito </t>
  </si>
  <si>
    <t>Restante</t>
  </si>
  <si>
    <t>Pago</t>
  </si>
  <si>
    <t>Quien Pago</t>
  </si>
  <si>
    <t>Jaiver Calderon</t>
  </si>
  <si>
    <t xml:space="preserve"> Arnaldo Aponte</t>
  </si>
  <si>
    <t>Fecha</t>
  </si>
  <si>
    <t>Comentario</t>
  </si>
  <si>
    <t>Sellado de techo/estucado/pintura/jardin</t>
  </si>
  <si>
    <t>Jose</t>
  </si>
  <si>
    <t>Jose Javier Calderon / Arnaldo Aponte</t>
  </si>
  <si>
    <t>Se pago comleto  a Jose</t>
  </si>
  <si>
    <t>Electricista</t>
  </si>
  <si>
    <t>Rigo Electric</t>
  </si>
  <si>
    <t>X</t>
  </si>
  <si>
    <t>8/27/20226</t>
  </si>
  <si>
    <t>Se pago por cotizacion - Se le resto al trabajo</t>
  </si>
  <si>
    <t>Ebanistaria</t>
  </si>
  <si>
    <t>jbmProjectsPr</t>
  </si>
  <si>
    <t>Se pago por cotizacion - Cotizacion muy alta</t>
  </si>
  <si>
    <t>Miscelaneos - Materiales Jose Techo</t>
  </si>
  <si>
    <t>Home Depot</t>
  </si>
  <si>
    <t>C7LUN-PDG6U</t>
  </si>
  <si>
    <t xml:space="preserve"> CROSSCO 8500, HARRIS TITANIUM FLAT, 2 PEGA</t>
  </si>
  <si>
    <t>Shipping Hammer Milwaukee</t>
  </si>
  <si>
    <t>DP3TP-THSC3</t>
  </si>
  <si>
    <t>08/29/20226</t>
  </si>
  <si>
    <t>Herramientas</t>
  </si>
  <si>
    <t>Wet Tile Saw</t>
  </si>
  <si>
    <t>FX5FD-P71PL</t>
  </si>
  <si>
    <t xml:space="preserve"> 08/05/26</t>
  </si>
  <si>
    <t>Herramientas (Tile Saw)</t>
  </si>
  <si>
    <t>1 Puerta - Back Patio</t>
  </si>
  <si>
    <t>Luis Mercado</t>
  </si>
  <si>
    <t>Renta de Maquina Presion</t>
  </si>
  <si>
    <t>JD EQUIMENT &amp; SUPPLY INC</t>
  </si>
  <si>
    <t>4KFHH9E8MQAEP</t>
  </si>
  <si>
    <t>Jose Javier Calderon</t>
  </si>
  <si>
    <t>Maquina de presion Alquilada para el techo</t>
  </si>
  <si>
    <t>Cocina</t>
  </si>
  <si>
    <t>Dario</t>
  </si>
  <si>
    <t>Baño</t>
  </si>
  <si>
    <t>VPDSH-E8W4N</t>
  </si>
  <si>
    <t xml:space="preserve">Ducha baño pasillo </t>
  </si>
  <si>
    <t>Piso - Instalacion de losas</t>
  </si>
  <si>
    <t xml:space="preserve">Pago por instalacion de Losas </t>
  </si>
  <si>
    <t>Piso - Losas</t>
  </si>
  <si>
    <t>Carolina Tile Outlet</t>
  </si>
  <si>
    <t>1.69 ft losa 24" x 24"</t>
  </si>
  <si>
    <t>Piso - Envio</t>
  </si>
  <si>
    <t>Juan Acevedo -Carolina Tile Outlet</t>
  </si>
  <si>
    <t xml:space="preserve">Envio de losas - ATH Movil </t>
  </si>
  <si>
    <t>Bloques - Pegas de losa - Herramientas</t>
  </si>
  <si>
    <t>U9UW5-TWY73</t>
  </si>
  <si>
    <t>Arnaldo Aponte</t>
  </si>
  <si>
    <t>Renta de maquina de rotos de deshagues y Disco d 5" para Canaletas</t>
  </si>
  <si>
    <t>XZFRQAK19HR1R</t>
  </si>
  <si>
    <t>Angualares</t>
  </si>
  <si>
    <t>MARKET CHINA</t>
  </si>
  <si>
    <t>Ferreteria - Colmado Agulares</t>
  </si>
  <si>
    <t>Pepito Food Market</t>
  </si>
  <si>
    <t>C3202583</t>
  </si>
  <si>
    <t>Compra de tornillos y base para receptaculos</t>
  </si>
  <si>
    <t>National Lumber</t>
  </si>
  <si>
    <t>Piso- LASH FLOOR LEVE CLIP</t>
  </si>
  <si>
    <t>8X4GH-HF2TV</t>
  </si>
  <si>
    <t>LASH FLOOR LEVE CLIP</t>
  </si>
  <si>
    <t>Door locks,Gosnes, Pintura de Bañera - Misc</t>
  </si>
  <si>
    <t>Amazon</t>
  </si>
  <si>
    <t>Bañ ducha- Sellador de techo - Miscelaneos</t>
  </si>
  <si>
    <t>HomeDepot</t>
  </si>
  <si>
    <t>11 Ventanas - Cocina - Sala- Frente</t>
  </si>
  <si>
    <t>Javier - Ventanas</t>
  </si>
  <si>
    <t>2 fijos - frente</t>
  </si>
  <si>
    <t>Air Master</t>
  </si>
  <si>
    <t>2 Puertas - Cocina</t>
  </si>
  <si>
    <t>(Restante para un budget de 25K)</t>
  </si>
  <si>
    <t>ID</t>
  </si>
  <si>
    <t>Categoría</t>
  </si>
  <si>
    <t>Descripción</t>
  </si>
  <si>
    <t>Suplidor</t>
  </si>
  <si>
    <t># Recibo</t>
  </si>
  <si>
    <t>Pagó Jose</t>
  </si>
  <si>
    <t>Pagó Arnaldo</t>
  </si>
  <si>
    <t>Pendiente</t>
  </si>
  <si>
    <t>Para revisar</t>
  </si>
  <si>
    <t>Documento</t>
  </si>
  <si>
    <t>Adquisición</t>
  </si>
  <si>
    <t>Precio de compra – cheque a vendedor (Enrique Rodríguez)</t>
  </si>
  <si>
    <t>Banco Popular</t>
  </si>
  <si>
    <t>103114600016304</t>
  </si>
  <si>
    <t>Cheque oficial</t>
  </si>
  <si>
    <t/>
  </si>
  <si>
    <t>Cheques Pago Total07272026.pdf</t>
  </si>
  <si>
    <t>Precio de compra – cheque a vendedora (Lissa Dávila)</t>
  </si>
  <si>
    <t>103114600016302</t>
  </si>
  <si>
    <t>Factura legal parte vendedora (descontada del precio)</t>
  </si>
  <si>
    <t>Lcda. Lesbia Hernández</t>
  </si>
  <si>
    <t>103114600016303</t>
  </si>
  <si>
    <t>Parte del precio de $150,000</t>
  </si>
  <si>
    <t>Depósito de buena fe</t>
  </si>
  <si>
    <t>—</t>
  </si>
  <si>
    <t>¿Quién pagó el depósito? Se asumió 50/50 — corregir</t>
  </si>
  <si>
    <t>Contrato Compra y Venta Casa Villa Carolina06072026 (1).pdf</t>
  </si>
  <si>
    <t>Cierre / Legal</t>
  </si>
  <si>
    <t>Factura legal parte compradora (escritura, aranceles, CRIM)</t>
  </si>
  <si>
    <t>¿Quién pagó? Se asumió 50/50 — corregir</t>
  </si>
  <si>
    <t>Factura y desglose de pago por gastos legales07272026.pdf</t>
  </si>
  <si>
    <t>Cargos de cheques oficiales (3 × $10)</t>
  </si>
  <si>
    <t>Techo / Exterior</t>
  </si>
  <si>
    <t>Sellado de techo / estucado / pintura / jardín</t>
  </si>
  <si>
    <t>Restan $500</t>
  </si>
  <si>
    <t>Electricidad</t>
  </si>
  <si>
    <t>Electricista (cotización, se restó del trabajo)</t>
  </si>
  <si>
    <t>Se pagó por cotización</t>
  </si>
  <si>
    <t>Ebanistería – cotización</t>
  </si>
  <si>
    <t>Cotización muy alta</t>
  </si>
  <si>
    <t>Materiales techo (Crossco 8500, Harris, pega)</t>
  </si>
  <si>
    <t>Home Depot $492.79  Sep 21 2026 eReceipt.pdf</t>
  </si>
  <si>
    <t>Herramientas / Equipo</t>
  </si>
  <si>
    <t>Hammer Milwaukee (shipping)</t>
  </si>
  <si>
    <t>Home Depot $348.95    Aug 29 2026 eReceipt.pdf</t>
  </si>
  <si>
    <t>Home Depot 279.55    Aug 5  2026 - Tile Cutter-  eReceipt.pdf</t>
  </si>
  <si>
    <t>Puertas / Ventanas</t>
  </si>
  <si>
    <t>1 puerta – back patio</t>
  </si>
  <si>
    <t>Excel: depósito $200 pero Jose $200 + Arnaldo $200 = $400. Verificar</t>
  </si>
  <si>
    <t>Renta máquina de presión (techo)</t>
  </si>
  <si>
    <t>JD Equipment &amp; Supply</t>
  </si>
  <si>
    <t>Cocina – gabinetes/instalación</t>
  </si>
  <si>
    <t>1753</t>
  </si>
  <si>
    <t>Restan $2,000</t>
  </si>
  <si>
    <t>planso de cocina lower.png</t>
  </si>
  <si>
    <t>Ducha baño pasillo y switch de luces</t>
  </si>
  <si>
    <t>Mismo monto que la compra de techo del 21-sep ($492.79). ¿Duplicado? El recibo de ducha es $193.10</t>
  </si>
  <si>
    <t>Home Depot $193.10    Aug 1 2026 - Shower -  eReceipt.pdf</t>
  </si>
  <si>
    <t>Piso</t>
  </si>
  <si>
    <t>Instalación de losas</t>
  </si>
  <si>
    <t>Losas 24"×24"</t>
  </si>
  <si>
    <t>1.69 ft² losa 24×24</t>
  </si>
  <si>
    <t>losas 24 x 24 1.30 home depot.png</t>
  </si>
  <si>
    <t>Envío de losas (ATH Móvil)</t>
  </si>
  <si>
    <t>Juan Acevedo – Carolina Tile Outlet</t>
  </si>
  <si>
    <t>Bloques, pegas de losa, herramientas</t>
  </si>
  <si>
    <t>Home Depot $210 Spet 30 2026 eReceipt.pdf</t>
  </si>
  <si>
    <t>Renta máquina destapar desagües + disco 5" canaletas</t>
  </si>
  <si>
    <t>Excel muestra $169.97 pagado vs. total $189.51. Verificar</t>
  </si>
  <si>
    <t>Misceláneos</t>
  </si>
  <si>
    <t>Angulares</t>
  </si>
  <si>
    <t>Market China</t>
  </si>
  <si>
    <t>345242</t>
  </si>
  <si>
    <t>Ferretería – angulares</t>
  </si>
  <si>
    <t>Tornillos y bases para receptáculos</t>
  </si>
  <si>
    <t>Lash floor level clip</t>
  </si>
  <si>
    <t>Door locks, goznes, pintura de bañera</t>
  </si>
  <si>
    <t>Pago no registrado en Excel; se asumió pagado por Jose</t>
  </si>
  <si>
    <t>Ducha, sellador de techo, misceláneos</t>
  </si>
  <si>
    <t>Pago no registrado en Excel; se asumió pagado por Arnaldo</t>
  </si>
  <si>
    <t>Home Depot 411.64  Octubre 7 2026 -Shower-Sellado de Techo .pdf</t>
  </si>
  <si>
    <t>11 ventanas – cocina, sala, frente</t>
  </si>
  <si>
    <t>Javier – Ventanas</t>
  </si>
  <si>
    <t>2 fijos – frente</t>
  </si>
  <si>
    <t>2 puertas – cocina</t>
  </si>
  <si>
    <t>Falta cotización</t>
  </si>
  <si>
    <t>Sin precio todavía</t>
  </si>
  <si>
    <t>TOTAL</t>
  </si>
  <si>
    <t>Casa Villa Carolina — Resumen</t>
  </si>
  <si>
    <t>Edita los valores en amarillo; la app los toma al sincronizar.</t>
  </si>
  <si>
    <t>Supuestos</t>
  </si>
  <si>
    <t>Valor</t>
  </si>
  <si>
    <t>(clave)</t>
  </si>
  <si>
    <t>Precio de venta meta ($)</t>
  </si>
  <si>
    <t>salePrice</t>
  </si>
  <si>
    <t>Comisión corredor (%)</t>
  </si>
  <si>
    <t>commissionPct</t>
  </si>
  <si>
    <t>Gastos de cierre del vendedor ($)</t>
  </si>
  <si>
    <t>sellerClosing</t>
  </si>
  <si>
    <t>Presupuesto remodelación ($)</t>
  </si>
  <si>
    <t>renoBudget</t>
  </si>
  <si>
    <t>ROI meta (%)</t>
  </si>
  <si>
    <t>targetRoi</t>
  </si>
  <si>
    <t>Repartir ganancia (capital o 50/50)</t>
  </si>
  <si>
    <t>capital</t>
  </si>
  <si>
    <t>profitSplit</t>
  </si>
  <si>
    <t>Resultados (se calculan solos)</t>
  </si>
  <si>
    <t>Compra (adquisición)</t>
  </si>
  <si>
    <t>Cierre / legal</t>
  </si>
  <si>
    <t>Remodelación</t>
  </si>
  <si>
    <t>Inversión total</t>
  </si>
  <si>
    <t>Costos de venta (comisión + cierre)</t>
  </si>
  <si>
    <t>GANANCIA NETA PROYECTADA</t>
  </si>
  <si>
    <t>% Ganancia (ROI)</t>
  </si>
  <si>
    <t>Margen sobre venta</t>
  </si>
  <si>
    <t>Punto de equilibrio</t>
  </si>
  <si>
    <t>Presupuesto remodelación disponible</t>
  </si>
  <si>
    <t>Pagado hasta hoy</t>
  </si>
  <si>
    <t>Pendiente por pagar</t>
  </si>
  <si>
    <t>Aportado por Jose</t>
  </si>
  <si>
    <t>Aportado por Arnaldo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</si>
</sst>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(#,##0.00);_(&quot;$&quot;* &quot;-&quot;??_);_(@_)"/>
    <numFmt numFmtId="165" formatCode="m/d/yyyy"/>
    <numFmt numFmtId="166" formatCode="&quot;$&quot;#,##0.00"/>
    <numFmt numFmtId="167" formatCode="0.0%"/>
  </numFmts>
  <fonts count="1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5"/>
      <family val="2"/>
      <scheme val="minor"/>
      <sz val="11"/>
      <name val="Aptos Narrow"/>
    </font>
    <font>
      <color theme="9"/>
      <family val="2"/>
      <scheme val="minor"/>
      <sz val="11"/>
      <name val="Aptos Narrow"/>
    </font>
    <font>
      <b/>
      <color rgb="FFFFFFFF"/>
    </font>
    <font>
      <b/>
    </font>
    <font>
      <b/>
      <sz val="14"/>
    </font>
    <font>
      <i/>
      <color rgb="FF6B736F"/>
    </font>
    <font>
      <color rgb="FF9AA39F"/>
      <sz val="9"/>
    </font>
  </fonts>
  <fills count="5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1F6F5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4" fontId="3" fillId="0" borderId="0" xfId="0" applyNumberFormat="1" applyFont="1"/>
    <xf numFmtId="14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164" fontId="5" fillId="2" borderId="0" xfId="0" applyNumberFormat="1" applyFont="1" applyFill="1"/>
    <xf numFmtId="0" fontId="5" fillId="2" borderId="0" xfId="0" applyFont="1" applyFill="1" applyAlignment="1">
      <alignment horizontal="left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0" fontId="6" fillId="0" borderId="1" xfId="0" applyFont="1" applyBorder="1"/>
    <xf numFmtId="164" fontId="3" fillId="0" borderId="1" xfId="0" applyNumberFormat="1" applyFont="1" applyBorder="1"/>
    <xf numFmtId="164" fontId="1" fillId="0" borderId="1" xfId="0" applyNumberFormat="1" applyFont="1" applyBorder="1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7" fillId="3" borderId="0" xfId="0" applyFont="1" applyFill="1" applyAlignment="1">
      <alignment vertical="center"/>
    </xf>
    <xf numFmtId="165" fontId="7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0" fontId="8" fillId="0" borderId="0" xfId="0" applyFont="1"/>
    <xf numFmtId="0" fontId="8" fillId="0" borderId="2" xfId="0" applyFont="1" applyBorder="1"/>
    <xf numFmtId="165" fontId="8" fillId="0" borderId="0" xfId="0" applyNumberFormat="1" applyFont="1"/>
    <xf numFmtId="166" fontId="8" fillId="0" borderId="2" xfId="0" applyNumberFormat="1" applyFont="1" applyBorder="1"/>
    <xf numFmtId="0" fontId="9" fillId="0" borderId="0" xfId="0" applyFont="1"/>
    <xf numFmtId="0" fontId="10" fillId="0" borderId="0" xfId="0" applyFont="1"/>
    <xf numFmtId="166" fontId="0" fillId="4" borderId="0" xfId="0" applyNumberFormat="1" applyFill="1"/>
    <xf numFmtId="0" fontId="11" fillId="0" borderId="0" xfId="0" applyFont="1"/>
    <xf numFmtId="0" fontId="0" fillId="4" borderId="0" xfId="0" applyFill="1"/>
    <xf numFmtId="166" fontId="8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7"/>
  <sheetViews>
    <sheetView workbookViewId="0" zoomScale="100" zoomScaleNormal="100">
      <selection activeCell="I4" sqref="I4"/>
    </sheetView>
  </sheetViews>
  <sheetFormatPr defaultRowHeight="15" outlineLevelRow="0" outlineLevelCol="0" x14ac:dyDescent="0.25"/>
  <cols>
    <col min="1" max="1" width="38.42578125" customWidth="1"/>
    <col min="2" max="2" width="13.42578125" customWidth="1"/>
    <col min="3" max="3" width="31.5703125" customWidth="1"/>
    <col min="4" max="4" width="32.7109375" style="1" customWidth="1"/>
    <col min="5" max="5" width="14" customWidth="1"/>
    <col min="6" max="6" width="12.28515625" customWidth="1"/>
    <col min="7" max="7" width="5.42578125" customWidth="1"/>
    <col min="8" max="8" width="34.7109375" customWidth="1"/>
    <col min="9" max="10" width="14.5703125" customWidth="1"/>
    <col min="11" max="11" width="12.28515625" style="2" customWidth="1"/>
    <col min="12" max="12" width="51.28515625" customWidth="1"/>
  </cols>
  <sheetData>
    <row r="3" ht="15.75" customHeight="1" spans="1:12" x14ac:dyDescent="0.25">
      <c r="A3" s="3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6" t="s">
        <v>10</v>
      </c>
      <c r="L3" s="4" t="s">
        <v>11</v>
      </c>
    </row>
    <row r="4" spans="1:12" x14ac:dyDescent="0.25">
      <c r="A4" t="s">
        <v>12</v>
      </c>
      <c r="B4" s="7">
        <v>4500</v>
      </c>
      <c r="C4" t="s">
        <v>13</v>
      </c>
      <c r="E4" s="7">
        <v>4500</v>
      </c>
      <c r="F4" s="8">
        <f>B4-E4</f>
        <v>0</v>
      </c>
      <c r="G4" s="8"/>
      <c r="H4" t="s">
        <v>14</v>
      </c>
      <c r="I4" s="7">
        <v>2250</v>
      </c>
      <c r="J4" s="7">
        <v>2250</v>
      </c>
      <c r="K4" s="9">
        <v>46305</v>
      </c>
      <c r="L4" t="s">
        <v>15</v>
      </c>
    </row>
    <row r="5" spans="1:11" x14ac:dyDescent="0.25">
      <c r="A5" t="s">
        <v>16</v>
      </c>
      <c r="B5" s="7">
        <v>1100</v>
      </c>
      <c r="C5" t="s">
        <v>17</v>
      </c>
      <c r="E5" s="7">
        <v>1100</v>
      </c>
      <c r="F5" s="8">
        <f t="shared" ref="F5:F10" si="0">B5-E5</f>
        <v>0</v>
      </c>
      <c r="G5" s="8" t="s">
        <v>18</v>
      </c>
      <c r="H5" t="s">
        <v>14</v>
      </c>
      <c r="I5" s="7">
        <v>550</v>
      </c>
      <c r="J5" s="7">
        <v>550</v>
      </c>
      <c r="K5" s="9">
        <v>46253</v>
      </c>
    </row>
    <row r="6" spans="1:12" x14ac:dyDescent="0.25">
      <c r="A6" t="s">
        <v>16</v>
      </c>
      <c r="B6" s="7">
        <v>98</v>
      </c>
      <c r="C6" t="s">
        <v>17</v>
      </c>
      <c r="E6" s="7">
        <v>98</v>
      </c>
      <c r="F6" s="8">
        <f>B6-E6</f>
        <v>0</v>
      </c>
      <c r="G6" s="8" t="s">
        <v>18</v>
      </c>
      <c r="H6" t="s">
        <v>14</v>
      </c>
      <c r="I6" s="7">
        <v>49</v>
      </c>
      <c r="J6" s="7">
        <v>49</v>
      </c>
      <c r="K6" s="2" t="s">
        <v>19</v>
      </c>
      <c r="L6" t="s">
        <v>20</v>
      </c>
    </row>
    <row r="7" spans="1:12" x14ac:dyDescent="0.25">
      <c r="A7" s="10" t="s">
        <v>21</v>
      </c>
      <c r="B7" s="8">
        <v>150</v>
      </c>
      <c r="C7" s="10" t="s">
        <v>22</v>
      </c>
      <c r="E7" s="8">
        <v>150</v>
      </c>
      <c r="F7" s="8">
        <f t="shared" si="0"/>
        <v>0</v>
      </c>
      <c r="G7" s="8" t="s">
        <v>18</v>
      </c>
      <c r="H7" t="s">
        <v>14</v>
      </c>
      <c r="I7" s="7">
        <v>75</v>
      </c>
      <c r="J7" s="7">
        <v>75</v>
      </c>
      <c r="K7" s="9">
        <v>46254</v>
      </c>
      <c r="L7" t="s">
        <v>23</v>
      </c>
    </row>
    <row r="8" spans="1:12" x14ac:dyDescent="0.25">
      <c r="A8" s="11" t="s">
        <v>24</v>
      </c>
      <c r="B8" s="7">
        <v>492.79</v>
      </c>
      <c r="C8" s="11" t="s">
        <v>25</v>
      </c>
      <c r="D8" s="12" t="s">
        <v>26</v>
      </c>
      <c r="E8" s="13">
        <v>492.79</v>
      </c>
      <c r="F8" s="13">
        <f t="shared" si="0"/>
        <v>0</v>
      </c>
      <c r="G8" s="13" t="s">
        <v>18</v>
      </c>
      <c r="H8" t="s">
        <v>14</v>
      </c>
      <c r="I8" s="13">
        <f>E8/2</f>
        <v>246.395</v>
      </c>
      <c r="J8" s="13">
        <v>246.4</v>
      </c>
      <c r="K8" s="14">
        <v>46286</v>
      </c>
      <c r="L8" s="11" t="s">
        <v>27</v>
      </c>
    </row>
    <row r="9" spans="1:12" x14ac:dyDescent="0.25">
      <c r="A9" s="11" t="s">
        <v>28</v>
      </c>
      <c r="B9" s="13">
        <v>348.95</v>
      </c>
      <c r="C9" s="11" t="s">
        <v>25</v>
      </c>
      <c r="D9" s="12" t="s">
        <v>29</v>
      </c>
      <c r="E9" s="13">
        <v>348.95</v>
      </c>
      <c r="F9" s="13">
        <f t="shared" si="0"/>
        <v>0</v>
      </c>
      <c r="G9" s="13" t="s">
        <v>18</v>
      </c>
      <c r="H9" t="s">
        <v>14</v>
      </c>
      <c r="I9" s="13">
        <f>E9/2</f>
        <v>174.475</v>
      </c>
      <c r="J9" s="13">
        <v>174.48</v>
      </c>
      <c r="K9" s="15" t="s">
        <v>30</v>
      </c>
      <c r="L9" s="11" t="s">
        <v>31</v>
      </c>
    </row>
    <row r="10" spans="1:12" x14ac:dyDescent="0.25">
      <c r="A10" s="11" t="s">
        <v>32</v>
      </c>
      <c r="B10" s="13">
        <v>279.55</v>
      </c>
      <c r="C10" s="11" t="s">
        <v>25</v>
      </c>
      <c r="D10" s="12" t="s">
        <v>33</v>
      </c>
      <c r="E10" s="13">
        <v>279.55</v>
      </c>
      <c r="F10" s="13">
        <f t="shared" si="0"/>
        <v>0</v>
      </c>
      <c r="G10" s="13" t="s">
        <v>18</v>
      </c>
      <c r="H10" t="s">
        <v>14</v>
      </c>
      <c r="I10" s="13">
        <f>E10/2</f>
        <v>139.775</v>
      </c>
      <c r="J10" s="13">
        <v>139.78</v>
      </c>
      <c r="K10" s="15" t="s">
        <v>34</v>
      </c>
      <c r="L10" s="11" t="s">
        <v>35</v>
      </c>
    </row>
    <row r="11" spans="1:12" x14ac:dyDescent="0.25">
      <c r="A11" s="11" t="s">
        <v>36</v>
      </c>
      <c r="B11" s="13">
        <v>400</v>
      </c>
      <c r="C11" s="11" t="s">
        <v>37</v>
      </c>
      <c r="D11" s="12"/>
      <c r="E11" s="13">
        <v>200</v>
      </c>
      <c r="F11" s="13">
        <f>B11-E11</f>
        <v>200</v>
      </c>
      <c r="G11" s="13" t="s">
        <v>18</v>
      </c>
      <c r="H11" t="s">
        <v>14</v>
      </c>
      <c r="I11" s="13">
        <v>200</v>
      </c>
      <c r="J11" s="13">
        <v>200</v>
      </c>
      <c r="K11" s="9">
        <v>46288</v>
      </c>
      <c r="L11" s="11" t="s">
        <v>6</v>
      </c>
    </row>
    <row r="12" spans="1:12" x14ac:dyDescent="0.25">
      <c r="A12" s="11" t="s">
        <v>38</v>
      </c>
      <c r="B12" s="13">
        <v>116.5</v>
      </c>
      <c r="C12" s="11" t="s">
        <v>39</v>
      </c>
      <c r="D12" s="12" t="s">
        <v>40</v>
      </c>
      <c r="E12" s="13">
        <v>116.5</v>
      </c>
      <c r="F12" s="13">
        <f>B12-E12</f>
        <v>0</v>
      </c>
      <c r="G12" s="13" t="s">
        <v>18</v>
      </c>
      <c r="H12" s="11" t="s">
        <v>41</v>
      </c>
      <c r="I12" s="13">
        <f>E12/2</f>
        <v>58.25</v>
      </c>
      <c r="J12" s="13">
        <v>58.25</v>
      </c>
      <c r="K12" s="14">
        <v>46274</v>
      </c>
      <c r="L12" s="11" t="s">
        <v>42</v>
      </c>
    </row>
    <row r="13" spans="1:11" x14ac:dyDescent="0.25">
      <c r="A13" t="s">
        <v>43</v>
      </c>
      <c r="B13" s="7">
        <v>4240</v>
      </c>
      <c r="C13" t="s">
        <v>44</v>
      </c>
      <c r="D13" s="1">
        <v>1753</v>
      </c>
      <c r="E13" s="7">
        <v>2240</v>
      </c>
      <c r="F13" s="8">
        <f>B13-E13</f>
        <v>2000</v>
      </c>
      <c r="G13" s="8"/>
      <c r="H13" t="s">
        <v>14</v>
      </c>
      <c r="I13" s="7">
        <v>1500</v>
      </c>
      <c r="J13" s="7">
        <v>740</v>
      </c>
      <c r="K13" s="9">
        <v>46304</v>
      </c>
    </row>
    <row r="14" spans="1:12" x14ac:dyDescent="0.25">
      <c r="A14" s="16" t="s">
        <v>45</v>
      </c>
      <c r="B14" s="17">
        <v>193.1</v>
      </c>
      <c r="C14" s="16" t="s">
        <v>25</v>
      </c>
      <c r="D14" s="18" t="s">
        <v>46</v>
      </c>
      <c r="E14" s="17">
        <v>193.1</v>
      </c>
      <c r="F14" s="17">
        <f t="shared" ref="F14" si="1">B14-E14</f>
        <v>0</v>
      </c>
      <c r="G14" s="17"/>
      <c r="H14" s="16" t="s">
        <v>41</v>
      </c>
      <c r="I14" s="17">
        <v>193.1</v>
      </c>
      <c r="J14" s="17"/>
      <c r="K14" s="19"/>
      <c r="L14" s="16" t="s">
        <v>47</v>
      </c>
    </row>
    <row r="15" spans="1:12" x14ac:dyDescent="0.25">
      <c r="A15" t="s">
        <v>48</v>
      </c>
      <c r="B15" s="7">
        <v>4000</v>
      </c>
      <c r="C15" t="s">
        <v>13</v>
      </c>
      <c r="E15" s="7">
        <v>2000</v>
      </c>
      <c r="F15" s="8">
        <f t="shared" ref="F15:F22" si="2">B15-E15</f>
        <v>2000</v>
      </c>
      <c r="G15" s="7"/>
      <c r="I15" s="7">
        <v>2000</v>
      </c>
      <c r="J15" s="7"/>
      <c r="L15" s="11" t="s">
        <v>49</v>
      </c>
    </row>
    <row r="16" spans="1:12" x14ac:dyDescent="0.25">
      <c r="A16" s="16" t="s">
        <v>50</v>
      </c>
      <c r="B16" s="17">
        <v>2892.31</v>
      </c>
      <c r="C16" s="16" t="s">
        <v>51</v>
      </c>
      <c r="D16" s="18"/>
      <c r="E16" s="16">
        <v>2892.31</v>
      </c>
      <c r="F16" s="17">
        <f t="shared" si="2"/>
        <v>0</v>
      </c>
      <c r="G16" s="17" t="s">
        <v>18</v>
      </c>
      <c r="H16" s="16" t="s">
        <v>41</v>
      </c>
      <c r="I16" s="17">
        <v>2892.31</v>
      </c>
      <c r="J16" s="17"/>
      <c r="K16" s="20"/>
      <c r="L16" s="16" t="s">
        <v>52</v>
      </c>
    </row>
    <row r="17" spans="1:12" x14ac:dyDescent="0.25">
      <c r="A17" s="16" t="s">
        <v>53</v>
      </c>
      <c r="B17" s="17">
        <v>250</v>
      </c>
      <c r="C17" s="16" t="s">
        <v>54</v>
      </c>
      <c r="D17" s="18"/>
      <c r="E17" s="17">
        <v>250</v>
      </c>
      <c r="F17" s="17">
        <f t="shared" si="2"/>
        <v>0</v>
      </c>
      <c r="G17" s="17" t="s">
        <v>18</v>
      </c>
      <c r="H17" s="16" t="s">
        <v>41</v>
      </c>
      <c r="I17" s="17">
        <v>250</v>
      </c>
      <c r="J17" s="17"/>
      <c r="K17" s="20"/>
      <c r="L17" s="16" t="s">
        <v>55</v>
      </c>
    </row>
    <row r="18" spans="1:12" x14ac:dyDescent="0.25">
      <c r="A18" s="16" t="s">
        <v>56</v>
      </c>
      <c r="B18" s="17">
        <v>210.87</v>
      </c>
      <c r="C18" s="16" t="s">
        <v>25</v>
      </c>
      <c r="D18" s="18" t="s">
        <v>57</v>
      </c>
      <c r="E18" s="17">
        <v>210.87</v>
      </c>
      <c r="F18" s="17">
        <f t="shared" si="2"/>
        <v>0</v>
      </c>
      <c r="G18" s="17" t="s">
        <v>18</v>
      </c>
      <c r="H18" s="16" t="s">
        <v>58</v>
      </c>
      <c r="I18" s="17"/>
      <c r="J18" s="17">
        <v>210.87</v>
      </c>
      <c r="K18" s="20"/>
      <c r="L18" s="16" t="s">
        <v>56</v>
      </c>
    </row>
    <row r="19" spans="1:12" x14ac:dyDescent="0.25">
      <c r="A19" s="16" t="s">
        <v>59</v>
      </c>
      <c r="B19" s="17">
        <v>189.51</v>
      </c>
      <c r="C19" s="16" t="s">
        <v>39</v>
      </c>
      <c r="D19" s="18" t="s">
        <v>60</v>
      </c>
      <c r="E19" s="17">
        <v>189.51</v>
      </c>
      <c r="F19" s="17">
        <f t="shared" si="2"/>
        <v>0</v>
      </c>
      <c r="G19" s="17" t="s">
        <v>18</v>
      </c>
      <c r="H19" s="16" t="s">
        <v>41</v>
      </c>
      <c r="I19" s="16">
        <v>169.97</v>
      </c>
      <c r="J19" s="17"/>
      <c r="K19" s="19">
        <v>46288</v>
      </c>
      <c r="L19" s="16" t="s">
        <v>59</v>
      </c>
    </row>
    <row r="20" spans="1:12" x14ac:dyDescent="0.25">
      <c r="A20" s="16" t="s">
        <v>61</v>
      </c>
      <c r="B20" s="17">
        <v>17.06</v>
      </c>
      <c r="C20" s="16" t="s">
        <v>62</v>
      </c>
      <c r="D20" s="18">
        <v>345242</v>
      </c>
      <c r="E20" s="17">
        <v>17.06</v>
      </c>
      <c r="F20" s="17">
        <f t="shared" si="2"/>
        <v>0</v>
      </c>
      <c r="G20" s="17" t="s">
        <v>18</v>
      </c>
      <c r="H20" s="16" t="s">
        <v>41</v>
      </c>
      <c r="I20" s="17">
        <v>17.06</v>
      </c>
      <c r="J20" s="17"/>
      <c r="K20" s="19">
        <v>46294</v>
      </c>
      <c r="L20" s="16" t="s">
        <v>61</v>
      </c>
    </row>
    <row r="21" spans="1:12" x14ac:dyDescent="0.25">
      <c r="A21" s="16" t="s">
        <v>63</v>
      </c>
      <c r="B21" s="17">
        <v>51.41</v>
      </c>
      <c r="C21" s="16" t="s">
        <v>64</v>
      </c>
      <c r="D21" s="18" t="s">
        <v>65</v>
      </c>
      <c r="E21" s="17">
        <v>51.41</v>
      </c>
      <c r="F21" s="17">
        <f t="shared" si="2"/>
        <v>0</v>
      </c>
      <c r="G21" s="17" t="s">
        <v>18</v>
      </c>
      <c r="H21" s="16" t="s">
        <v>41</v>
      </c>
      <c r="I21" s="17">
        <v>51.41</v>
      </c>
      <c r="J21" s="17"/>
      <c r="K21" s="19">
        <v>46293</v>
      </c>
      <c r="L21" s="16" t="s">
        <v>63</v>
      </c>
    </row>
    <row r="22" spans="1:12" x14ac:dyDescent="0.25">
      <c r="A22" s="16" t="s">
        <v>66</v>
      </c>
      <c r="B22" s="17">
        <v>8.99</v>
      </c>
      <c r="C22" s="16" t="s">
        <v>67</v>
      </c>
      <c r="D22" s="18"/>
      <c r="E22" s="17">
        <v>8.99</v>
      </c>
      <c r="F22" s="17">
        <f t="shared" si="2"/>
        <v>0</v>
      </c>
      <c r="G22" s="17" t="s">
        <v>18</v>
      </c>
      <c r="H22" s="16" t="s">
        <v>41</v>
      </c>
      <c r="I22" s="17">
        <v>8.99</v>
      </c>
      <c r="J22" s="17"/>
      <c r="K22" s="19">
        <v>46295</v>
      </c>
      <c r="L22" s="16" t="s">
        <v>66</v>
      </c>
    </row>
    <row r="23" spans="1:12" x14ac:dyDescent="0.25">
      <c r="A23" s="16" t="s">
        <v>68</v>
      </c>
      <c r="B23" s="17">
        <v>232.58</v>
      </c>
      <c r="C23" s="16" t="s">
        <v>25</v>
      </c>
      <c r="D23" s="16" t="s">
        <v>69</v>
      </c>
      <c r="E23" s="17">
        <v>232.58</v>
      </c>
      <c r="F23" s="17">
        <f t="shared" ref="F23" si="3">B23-E23</f>
        <v>0</v>
      </c>
      <c r="G23" s="17" t="s">
        <v>18</v>
      </c>
      <c r="H23" s="16" t="s">
        <v>41</v>
      </c>
      <c r="I23" s="17">
        <v>232.58</v>
      </c>
      <c r="J23" s="17"/>
      <c r="K23" s="19">
        <v>46295</v>
      </c>
      <c r="L23" s="16" t="s">
        <v>70</v>
      </c>
    </row>
    <row r="24" spans="1:12" x14ac:dyDescent="0.25">
      <c r="A24" s="16" t="s">
        <v>71</v>
      </c>
      <c r="B24" s="17">
        <v>257.33</v>
      </c>
      <c r="C24" s="16" t="s">
        <v>72</v>
      </c>
      <c r="D24" s="16"/>
      <c r="E24" s="17"/>
      <c r="F24" s="17"/>
      <c r="G24" s="17"/>
      <c r="H24" s="16" t="s">
        <v>41</v>
      </c>
      <c r="I24" s="17"/>
      <c r="J24" s="17"/>
      <c r="K24" s="19">
        <v>46302</v>
      </c>
      <c r="L24" s="16" t="s">
        <v>71</v>
      </c>
    </row>
    <row r="25" spans="1:12" x14ac:dyDescent="0.25">
      <c r="A25" s="16" t="s">
        <v>73</v>
      </c>
      <c r="B25" s="17">
        <v>411.64</v>
      </c>
      <c r="C25" s="16" t="s">
        <v>74</v>
      </c>
      <c r="D25" s="16"/>
      <c r="E25" s="17"/>
      <c r="F25" s="17"/>
      <c r="G25" s="17"/>
      <c r="H25" s="16" t="s">
        <v>58</v>
      </c>
      <c r="I25" s="17"/>
      <c r="J25" s="17"/>
      <c r="K25" s="19">
        <v>46302</v>
      </c>
      <c r="L25" s="16" t="s">
        <v>73</v>
      </c>
    </row>
    <row r="26" spans="1:12" x14ac:dyDescent="0.25">
      <c r="A26" s="16"/>
      <c r="B26" s="21"/>
      <c r="C26" s="11"/>
      <c r="D26" s="22"/>
      <c r="E26" s="23"/>
      <c r="F26" s="21"/>
      <c r="G26" s="21"/>
      <c r="H26" s="23"/>
      <c r="I26" s="21"/>
      <c r="J26" s="21"/>
      <c r="K26" s="24"/>
      <c r="L26" s="23"/>
    </row>
    <row r="27" spans="1:10" x14ac:dyDescent="0.25">
      <c r="A27" s="25" t="s">
        <v>75</v>
      </c>
      <c r="B27" s="7">
        <v>3495</v>
      </c>
      <c r="C27" s="25" t="s">
        <v>76</v>
      </c>
      <c r="E27" s="7">
        <v>0</v>
      </c>
      <c r="F27" s="8">
        <f>B27-E27</f>
        <v>3495</v>
      </c>
      <c r="G27" s="8"/>
      <c r="I27" s="7"/>
      <c r="J27" s="7"/>
    </row>
    <row r="28" spans="1:10" x14ac:dyDescent="0.25">
      <c r="A28" s="25" t="s">
        <v>77</v>
      </c>
      <c r="B28" s="26">
        <v>458</v>
      </c>
      <c r="C28" s="25" t="s">
        <v>78</v>
      </c>
      <c r="E28" s="7">
        <v>0</v>
      </c>
      <c r="F28" s="8">
        <f>B28-E28</f>
        <v>458</v>
      </c>
      <c r="G28" s="8"/>
      <c r="I28" s="7"/>
      <c r="J28" s="7"/>
    </row>
    <row r="29" ht="15.75" customHeight="1" spans="1:12" x14ac:dyDescent="0.25">
      <c r="A29" s="27" t="s">
        <v>79</v>
      </c>
      <c r="B29" s="28">
        <v>0</v>
      </c>
      <c r="C29" s="27" t="s">
        <v>37</v>
      </c>
      <c r="D29" s="5"/>
      <c r="E29" s="29">
        <v>0</v>
      </c>
      <c r="F29" s="28">
        <f>B29-E29</f>
        <v>0</v>
      </c>
      <c r="G29" s="28"/>
      <c r="H29" s="4"/>
      <c r="I29" s="29"/>
      <c r="J29" s="29"/>
      <c r="K29" s="6"/>
      <c r="L29" s="4"/>
    </row>
    <row r="30" spans="2:12" s="30" customFormat="1" x14ac:dyDescent="0.25">
      <c r="B30" s="31">
        <f>SUM(B4:B28)</f>
        <v>24393.590000000004</v>
      </c>
      <c r="C30" s="32">
        <f>25000-B30</f>
        <v>606.4099999999962</v>
      </c>
      <c r="D30" s="33" t="s">
        <v>80</v>
      </c>
      <c r="E30" s="34">
        <f>SUM(E4:E28)</f>
        <v>15571.62</v>
      </c>
      <c r="F30" s="34">
        <f>SUM(F4:F28)</f>
        <v>8153</v>
      </c>
      <c r="G30" s="34"/>
      <c r="H30" s="34"/>
      <c r="I30" s="34">
        <f>SUM(I4:I28)</f>
        <v>11058.314999999999</v>
      </c>
      <c r="J30" s="34">
        <f>SUM(J4:J28)</f>
        <v>4693.78</v>
      </c>
      <c r="K30" s="35"/>
      <c r="L30" s="32"/>
    </row>
    <row r="31" spans="11:11" x14ac:dyDescent="0.25">
      <c r="K31" s="36"/>
    </row>
    <row r="32" spans="12:12" x14ac:dyDescent="0.25">
      <c r="L32" s="7"/>
    </row>
    <row r="33" spans="12:12" x14ac:dyDescent="0.25">
      <c r="L33" s="7"/>
    </row>
    <row r="36" spans="3:5" x14ac:dyDescent="0.25">
      <c r="C36">
        <v>310</v>
      </c>
      <c r="D36" s="1">
        <v>19</v>
      </c>
      <c r="E36">
        <f>C36*D36</f>
        <v>5890</v>
      </c>
    </row>
    <row r="37" spans="2:2" x14ac:dyDescent="0.25">
      <c r="B37" s="37"/>
    </row>
  </sheetData>
  <pageMargins left="0.7" right="0.7" top="0.75" bottom="0.75" header="0.3" footer="0.3"/>
  <pageSetup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5C"/>
  </sheetPr>
  <dimension ref="A1:M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style="38" customWidth="1"/>
    <col min="3" max="3" width="22" customWidth="1"/>
    <col min="4" max="4" width="46" customWidth="1"/>
    <col min="5" max="5" width="26" customWidth="1"/>
    <col min="6" max="6" width="17" customWidth="1"/>
    <col min="7" max="10" width="13" style="39" customWidth="1"/>
    <col min="11" max="12" width="38" customWidth="1"/>
    <col min="13" max="13" width="32" customWidth="1"/>
  </cols>
  <sheetData>
    <row r="1" spans="1:13" s="40" customFormat="1" x14ac:dyDescent="0.25">
      <c r="A1" s="40" t="s">
        <v>81</v>
      </c>
      <c r="B1" s="41" t="s">
        <v>10</v>
      </c>
      <c r="C1" s="40" t="s">
        <v>82</v>
      </c>
      <c r="D1" s="40" t="s">
        <v>83</v>
      </c>
      <c r="E1" s="40" t="s">
        <v>84</v>
      </c>
      <c r="F1" s="40" t="s">
        <v>85</v>
      </c>
      <c r="G1" s="42" t="s">
        <v>1</v>
      </c>
      <c r="H1" s="42" t="s">
        <v>86</v>
      </c>
      <c r="I1" s="42" t="s">
        <v>87</v>
      </c>
      <c r="J1" s="42" t="s">
        <v>88</v>
      </c>
      <c r="K1" s="40" t="s">
        <v>11</v>
      </c>
      <c r="L1" s="40" t="s">
        <v>89</v>
      </c>
      <c r="M1" s="40" t="s">
        <v>90</v>
      </c>
    </row>
    <row r="2" spans="1:13" x14ac:dyDescent="0.25">
      <c r="A2">
        <v>1</v>
      </c>
      <c r="B2" s="38">
        <v>46223</v>
      </c>
      <c r="C2" t="s">
        <v>91</v>
      </c>
      <c r="D2" t="s">
        <v>92</v>
      </c>
      <c r="E2" t="s">
        <v>93</v>
      </c>
      <c r="F2" t="s">
        <v>94</v>
      </c>
      <c r="G2" s="39">
        <v>71182</v>
      </c>
      <c r="H2" s="39">
        <v>71182</v>
      </c>
      <c r="I2" s="39">
        <v>0</v>
      </c>
      <c r="J2" s="39">
        <f>G2-H2-I2</f>
      </c>
      <c r="K2" t="s">
        <v>95</v>
      </c>
      <c r="L2" t="s">
        <v>96</v>
      </c>
      <c r="M2" t="s">
        <v>97</v>
      </c>
    </row>
    <row r="3" spans="1:13" x14ac:dyDescent="0.25">
      <c r="A3">
        <v>2</v>
      </c>
      <c r="B3" s="38">
        <v>46223</v>
      </c>
      <c r="C3" t="s">
        <v>91</v>
      </c>
      <c r="D3" t="s">
        <v>98</v>
      </c>
      <c r="E3" t="s">
        <v>93</v>
      </c>
      <c r="F3" t="s">
        <v>99</v>
      </c>
      <c r="G3" s="39">
        <v>71182</v>
      </c>
      <c r="H3" s="39">
        <v>0</v>
      </c>
      <c r="I3" s="39">
        <v>71182</v>
      </c>
      <c r="J3" s="39">
        <f>G3-H3-I3</f>
      </c>
      <c r="K3" t="s">
        <v>95</v>
      </c>
      <c r="L3" t="s">
        <v>96</v>
      </c>
      <c r="M3" t="s">
        <v>97</v>
      </c>
    </row>
    <row r="4" spans="1:13" x14ac:dyDescent="0.25">
      <c r="A4">
        <v>3</v>
      </c>
      <c r="B4" s="38">
        <v>46223</v>
      </c>
      <c r="C4" t="s">
        <v>91</v>
      </c>
      <c r="D4" t="s">
        <v>100</v>
      </c>
      <c r="E4" t="s">
        <v>101</v>
      </c>
      <c r="F4" t="s">
        <v>102</v>
      </c>
      <c r="G4" s="39">
        <v>2636</v>
      </c>
      <c r="H4" s="39">
        <v>0</v>
      </c>
      <c r="I4" s="39">
        <v>2636</v>
      </c>
      <c r="J4" s="39">
        <f>G4-H4-I4</f>
      </c>
      <c r="K4" t="s">
        <v>103</v>
      </c>
      <c r="L4" t="s">
        <v>96</v>
      </c>
      <c r="M4" t="s">
        <v>97</v>
      </c>
    </row>
    <row r="5" spans="1:13" x14ac:dyDescent="0.25">
      <c r="A5">
        <v>4</v>
      </c>
      <c r="B5" s="38">
        <v>46180</v>
      </c>
      <c r="C5" t="s">
        <v>91</v>
      </c>
      <c r="D5" t="s">
        <v>104</v>
      </c>
      <c r="E5" t="s">
        <v>105</v>
      </c>
      <c r="F5" t="s">
        <v>96</v>
      </c>
      <c r="G5" s="39">
        <v>5000</v>
      </c>
      <c r="H5" s="39">
        <v>2500</v>
      </c>
      <c r="I5" s="39">
        <v>2500</v>
      </c>
      <c r="J5" s="39">
        <f>G5-H5-I5</f>
      </c>
      <c r="K5" t="s">
        <v>103</v>
      </c>
      <c r="L5" t="s">
        <v>106</v>
      </c>
      <c r="M5" t="s">
        <v>107</v>
      </c>
    </row>
    <row r="6" spans="1:13" x14ac:dyDescent="0.25">
      <c r="A6">
        <v>5</v>
      </c>
      <c r="B6" s="38">
        <v>46223</v>
      </c>
      <c r="C6" t="s">
        <v>108</v>
      </c>
      <c r="D6" t="s">
        <v>109</v>
      </c>
      <c r="E6" t="s">
        <v>101</v>
      </c>
      <c r="F6" t="s">
        <v>96</v>
      </c>
      <c r="G6" s="39">
        <v>1199.5</v>
      </c>
      <c r="H6" s="39">
        <v>599.75</v>
      </c>
      <c r="I6" s="39">
        <v>599.75</v>
      </c>
      <c r="J6" s="39">
        <f>G6-H6-I6</f>
      </c>
      <c r="K6" t="s">
        <v>96</v>
      </c>
      <c r="L6" t="s">
        <v>110</v>
      </c>
      <c r="M6" t="s">
        <v>111</v>
      </c>
    </row>
    <row r="7" spans="1:13" x14ac:dyDescent="0.25">
      <c r="A7">
        <v>6</v>
      </c>
      <c r="B7" s="38">
        <v>46223</v>
      </c>
      <c r="C7" t="s">
        <v>108</v>
      </c>
      <c r="D7" t="s">
        <v>112</v>
      </c>
      <c r="E7" t="s">
        <v>93</v>
      </c>
      <c r="F7" t="s">
        <v>96</v>
      </c>
      <c r="G7" s="39">
        <v>30</v>
      </c>
      <c r="H7" s="39">
        <v>10</v>
      </c>
      <c r="I7" s="39">
        <v>20</v>
      </c>
      <c r="J7" s="39">
        <f>G7-H7-I7</f>
      </c>
      <c r="K7" t="s">
        <v>96</v>
      </c>
      <c r="L7" t="s">
        <v>96</v>
      </c>
      <c r="M7" t="s">
        <v>97</v>
      </c>
    </row>
    <row r="8" spans="1:13" x14ac:dyDescent="0.25">
      <c r="A8">
        <v>7</v>
      </c>
      <c r="B8" s="38" t="s">
        <v>96</v>
      </c>
      <c r="C8" t="s">
        <v>113</v>
      </c>
      <c r="D8" t="s">
        <v>114</v>
      </c>
      <c r="E8" t="s">
        <v>13</v>
      </c>
      <c r="F8" t="s">
        <v>96</v>
      </c>
      <c r="G8" s="39">
        <v>4500</v>
      </c>
      <c r="H8" s="39">
        <v>1750</v>
      </c>
      <c r="I8" s="39">
        <v>2250</v>
      </c>
      <c r="J8" s="39">
        <f>G8-H8-I8</f>
      </c>
      <c r="K8" t="s">
        <v>115</v>
      </c>
      <c r="L8" t="s">
        <v>96</v>
      </c>
      <c r="M8" t="s">
        <v>96</v>
      </c>
    </row>
    <row r="9" spans="1:13" x14ac:dyDescent="0.25">
      <c r="A9">
        <v>8</v>
      </c>
      <c r="B9" s="38">
        <v>46253</v>
      </c>
      <c r="C9" t="s">
        <v>116</v>
      </c>
      <c r="D9" t="s">
        <v>16</v>
      </c>
      <c r="E9" t="s">
        <v>17</v>
      </c>
      <c r="F9" t="s">
        <v>96</v>
      </c>
      <c r="G9" s="39">
        <v>1100</v>
      </c>
      <c r="H9" s="39">
        <v>550</v>
      </c>
      <c r="I9" s="39">
        <v>550</v>
      </c>
      <c r="J9" s="39">
        <f>G9-H9-I9</f>
      </c>
      <c r="K9" t="s">
        <v>96</v>
      </c>
      <c r="L9" t="s">
        <v>96</v>
      </c>
      <c r="M9" t="s">
        <v>96</v>
      </c>
    </row>
    <row r="10" spans="1:13" x14ac:dyDescent="0.25">
      <c r="A10">
        <v>9</v>
      </c>
      <c r="B10" s="38">
        <v>46261</v>
      </c>
      <c r="C10" t="s">
        <v>116</v>
      </c>
      <c r="D10" t="s">
        <v>117</v>
      </c>
      <c r="E10" t="s">
        <v>17</v>
      </c>
      <c r="F10" t="s">
        <v>96</v>
      </c>
      <c r="G10" s="39">
        <v>98</v>
      </c>
      <c r="H10" s="39">
        <v>49</v>
      </c>
      <c r="I10" s="39">
        <v>49</v>
      </c>
      <c r="J10" s="39">
        <f>G10-H10-I10</f>
      </c>
      <c r="K10" t="s">
        <v>118</v>
      </c>
      <c r="L10" t="s">
        <v>96</v>
      </c>
      <c r="M10" t="s">
        <v>96</v>
      </c>
    </row>
    <row r="11" spans="1:13" x14ac:dyDescent="0.25">
      <c r="A11">
        <v>10</v>
      </c>
      <c r="B11" s="38">
        <v>46254</v>
      </c>
      <c r="C11" t="s">
        <v>43</v>
      </c>
      <c r="D11" t="s">
        <v>119</v>
      </c>
      <c r="E11" t="s">
        <v>22</v>
      </c>
      <c r="F11" t="s">
        <v>96</v>
      </c>
      <c r="G11" s="39">
        <v>150</v>
      </c>
      <c r="H11" s="39">
        <v>75</v>
      </c>
      <c r="I11" s="39">
        <v>75</v>
      </c>
      <c r="J11" s="39">
        <f>G11-H11-I11</f>
      </c>
      <c r="K11" t="s">
        <v>120</v>
      </c>
      <c r="L11" t="s">
        <v>96</v>
      </c>
      <c r="M11" t="s">
        <v>96</v>
      </c>
    </row>
    <row r="12" spans="1:13" x14ac:dyDescent="0.25">
      <c r="A12">
        <v>11</v>
      </c>
      <c r="B12" s="38">
        <v>46286</v>
      </c>
      <c r="C12" t="s">
        <v>113</v>
      </c>
      <c r="D12" t="s">
        <v>121</v>
      </c>
      <c r="E12" t="s">
        <v>25</v>
      </c>
      <c r="F12" t="s">
        <v>26</v>
      </c>
      <c r="G12" s="39">
        <v>492.79</v>
      </c>
      <c r="H12" s="39">
        <v>246.39</v>
      </c>
      <c r="I12" s="39">
        <v>246.4</v>
      </c>
      <c r="J12" s="39">
        <f>G12-H12-I12</f>
      </c>
      <c r="K12" t="s">
        <v>96</v>
      </c>
      <c r="L12" t="s">
        <v>96</v>
      </c>
      <c r="M12" t="s">
        <v>122</v>
      </c>
    </row>
    <row r="13" spans="1:13" x14ac:dyDescent="0.25">
      <c r="A13">
        <v>12</v>
      </c>
      <c r="B13" s="38">
        <v>46263</v>
      </c>
      <c r="C13" t="s">
        <v>123</v>
      </c>
      <c r="D13" t="s">
        <v>124</v>
      </c>
      <c r="E13" t="s">
        <v>25</v>
      </c>
      <c r="F13" t="s">
        <v>29</v>
      </c>
      <c r="G13" s="39">
        <v>348.95</v>
      </c>
      <c r="H13" s="39">
        <v>174.47</v>
      </c>
      <c r="I13" s="39">
        <v>174.48</v>
      </c>
      <c r="J13" s="39">
        <f>G13-H13-I13</f>
      </c>
      <c r="K13" t="s">
        <v>31</v>
      </c>
      <c r="L13" t="s">
        <v>96</v>
      </c>
      <c r="M13" t="s">
        <v>125</v>
      </c>
    </row>
    <row r="14" spans="1:13" x14ac:dyDescent="0.25">
      <c r="A14">
        <v>13</v>
      </c>
      <c r="B14" s="38">
        <v>46239</v>
      </c>
      <c r="C14" t="s">
        <v>123</v>
      </c>
      <c r="D14" t="s">
        <v>32</v>
      </c>
      <c r="E14" t="s">
        <v>25</v>
      </c>
      <c r="F14" t="s">
        <v>33</v>
      </c>
      <c r="G14" s="39">
        <v>279.55</v>
      </c>
      <c r="H14" s="39">
        <v>139.77</v>
      </c>
      <c r="I14" s="39">
        <v>139.78</v>
      </c>
      <c r="J14" s="39">
        <f>G14-H14-I14</f>
      </c>
      <c r="K14" t="s">
        <v>96</v>
      </c>
      <c r="L14" t="s">
        <v>96</v>
      </c>
      <c r="M14" t="s">
        <v>126</v>
      </c>
    </row>
    <row r="15" spans="1:13" x14ac:dyDescent="0.25">
      <c r="A15">
        <v>14</v>
      </c>
      <c r="B15" s="38">
        <v>46288</v>
      </c>
      <c r="C15" t="s">
        <v>127</v>
      </c>
      <c r="D15" t="s">
        <v>128</v>
      </c>
      <c r="E15" t="s">
        <v>37</v>
      </c>
      <c r="F15" t="s">
        <v>96</v>
      </c>
      <c r="G15" s="39">
        <v>400</v>
      </c>
      <c r="H15" s="39">
        <v>200</v>
      </c>
      <c r="I15" s="39">
        <v>200</v>
      </c>
      <c r="J15" s="39">
        <f>G15-H15-I15</f>
      </c>
      <c r="K15" t="s">
        <v>96</v>
      </c>
      <c r="L15" t="s">
        <v>129</v>
      </c>
      <c r="M15" t="s">
        <v>96</v>
      </c>
    </row>
    <row r="16" spans="1:13" x14ac:dyDescent="0.25">
      <c r="A16">
        <v>15</v>
      </c>
      <c r="B16" s="38">
        <v>46274</v>
      </c>
      <c r="C16" t="s">
        <v>113</v>
      </c>
      <c r="D16" t="s">
        <v>130</v>
      </c>
      <c r="E16" t="s">
        <v>131</v>
      </c>
      <c r="F16" t="s">
        <v>40</v>
      </c>
      <c r="G16" s="39">
        <v>116.5</v>
      </c>
      <c r="H16" s="39">
        <v>58.25</v>
      </c>
      <c r="I16" s="39">
        <v>58.25</v>
      </c>
      <c r="J16" s="39">
        <f>G16-H16-I16</f>
      </c>
      <c r="K16" t="s">
        <v>96</v>
      </c>
      <c r="L16" t="s">
        <v>96</v>
      </c>
      <c r="M16" t="s">
        <v>96</v>
      </c>
    </row>
    <row r="17" spans="1:13" x14ac:dyDescent="0.25">
      <c r="A17">
        <v>16</v>
      </c>
      <c r="B17" s="38">
        <v>46304</v>
      </c>
      <c r="C17" t="s">
        <v>43</v>
      </c>
      <c r="D17" t="s">
        <v>132</v>
      </c>
      <c r="E17" t="s">
        <v>44</v>
      </c>
      <c r="F17" t="s">
        <v>133</v>
      </c>
      <c r="G17" s="39">
        <v>4240</v>
      </c>
      <c r="H17" s="39">
        <v>1500</v>
      </c>
      <c r="I17" s="39">
        <v>740</v>
      </c>
      <c r="J17" s="39">
        <f>G17-H17-I17</f>
      </c>
      <c r="K17" t="s">
        <v>134</v>
      </c>
      <c r="L17" t="s">
        <v>96</v>
      </c>
      <c r="M17" t="s">
        <v>135</v>
      </c>
    </row>
    <row r="18" spans="1:13" x14ac:dyDescent="0.25">
      <c r="A18">
        <v>17</v>
      </c>
      <c r="B18" s="38" t="s">
        <v>96</v>
      </c>
      <c r="C18" t="s">
        <v>45</v>
      </c>
      <c r="D18" t="s">
        <v>136</v>
      </c>
      <c r="E18" t="s">
        <v>25</v>
      </c>
      <c r="F18" t="s">
        <v>96</v>
      </c>
      <c r="G18" s="39">
        <v>492.79</v>
      </c>
      <c r="H18" s="39">
        <v>492.79</v>
      </c>
      <c r="I18" s="39">
        <v>0</v>
      </c>
      <c r="J18" s="39">
        <f>G18-H18-I18</f>
      </c>
      <c r="K18" t="s">
        <v>96</v>
      </c>
      <c r="L18" t="s">
        <v>137</v>
      </c>
      <c r="M18" t="s">
        <v>138</v>
      </c>
    </row>
    <row r="19" spans="1:13" x14ac:dyDescent="0.25">
      <c r="A19">
        <v>18</v>
      </c>
      <c r="B19" s="38" t="s">
        <v>96</v>
      </c>
      <c r="C19" t="s">
        <v>139</v>
      </c>
      <c r="D19" t="s">
        <v>140</v>
      </c>
      <c r="E19" t="s">
        <v>13</v>
      </c>
      <c r="F19" t="s">
        <v>96</v>
      </c>
      <c r="G19" s="39">
        <v>4000</v>
      </c>
      <c r="H19" s="39">
        <v>2000</v>
      </c>
      <c r="I19" s="39">
        <v>0</v>
      </c>
      <c r="J19" s="39">
        <f>G19-H19-I19</f>
      </c>
      <c r="K19" t="s">
        <v>134</v>
      </c>
      <c r="L19" t="s">
        <v>96</v>
      </c>
      <c r="M19" t="s">
        <v>96</v>
      </c>
    </row>
    <row r="20" spans="1:13" x14ac:dyDescent="0.25">
      <c r="A20">
        <v>19</v>
      </c>
      <c r="B20" s="38" t="s">
        <v>96</v>
      </c>
      <c r="C20" t="s">
        <v>139</v>
      </c>
      <c r="D20" t="s">
        <v>141</v>
      </c>
      <c r="E20" t="s">
        <v>51</v>
      </c>
      <c r="F20" t="s">
        <v>96</v>
      </c>
      <c r="G20" s="39">
        <v>2892.31</v>
      </c>
      <c r="H20" s="39">
        <v>2892.31</v>
      </c>
      <c r="I20" s="39">
        <v>0</v>
      </c>
      <c r="J20" s="39">
        <f>G20-H20-I20</f>
      </c>
      <c r="K20" t="s">
        <v>142</v>
      </c>
      <c r="L20" t="s">
        <v>96</v>
      </c>
      <c r="M20" t="s">
        <v>143</v>
      </c>
    </row>
    <row r="21" spans="1:13" x14ac:dyDescent="0.25">
      <c r="A21">
        <v>20</v>
      </c>
      <c r="B21" s="38" t="s">
        <v>96</v>
      </c>
      <c r="C21" t="s">
        <v>139</v>
      </c>
      <c r="D21" t="s">
        <v>144</v>
      </c>
      <c r="E21" t="s">
        <v>145</v>
      </c>
      <c r="F21" t="s">
        <v>96</v>
      </c>
      <c r="G21" s="39">
        <v>250</v>
      </c>
      <c r="H21" s="39">
        <v>250</v>
      </c>
      <c r="I21" s="39">
        <v>0</v>
      </c>
      <c r="J21" s="39">
        <f>G21-H21-I21</f>
      </c>
      <c r="K21" t="s">
        <v>96</v>
      </c>
      <c r="L21" t="s">
        <v>96</v>
      </c>
      <c r="M21" t="s">
        <v>96</v>
      </c>
    </row>
    <row r="22" spans="1:13" x14ac:dyDescent="0.25">
      <c r="A22">
        <v>21</v>
      </c>
      <c r="B22" s="38">
        <v>46295</v>
      </c>
      <c r="C22" t="s">
        <v>139</v>
      </c>
      <c r="D22" t="s">
        <v>146</v>
      </c>
      <c r="E22" t="s">
        <v>25</v>
      </c>
      <c r="F22" t="s">
        <v>57</v>
      </c>
      <c r="G22" s="39">
        <v>210.87</v>
      </c>
      <c r="H22" s="39">
        <v>0</v>
      </c>
      <c r="I22" s="39">
        <v>210.87</v>
      </c>
      <c r="J22" s="39">
        <f>G22-H22-I22</f>
      </c>
      <c r="K22" t="s">
        <v>96</v>
      </c>
      <c r="L22" t="s">
        <v>96</v>
      </c>
      <c r="M22" t="s">
        <v>147</v>
      </c>
    </row>
    <row r="23" spans="1:13" x14ac:dyDescent="0.25">
      <c r="A23">
        <v>22</v>
      </c>
      <c r="B23" s="38">
        <v>46288</v>
      </c>
      <c r="C23" t="s">
        <v>123</v>
      </c>
      <c r="D23" t="s">
        <v>148</v>
      </c>
      <c r="E23" t="s">
        <v>131</v>
      </c>
      <c r="F23" t="s">
        <v>60</v>
      </c>
      <c r="G23" s="39">
        <v>189.51</v>
      </c>
      <c r="H23" s="39">
        <v>189.51</v>
      </c>
      <c r="I23" s="39">
        <v>0</v>
      </c>
      <c r="J23" s="39">
        <f>G23-H23-I23</f>
      </c>
      <c r="K23" t="s">
        <v>96</v>
      </c>
      <c r="L23" t="s">
        <v>149</v>
      </c>
      <c r="M23" t="s">
        <v>96</v>
      </c>
    </row>
    <row r="24" spans="1:13" x14ac:dyDescent="0.25">
      <c r="A24">
        <v>23</v>
      </c>
      <c r="B24" s="38">
        <v>46294</v>
      </c>
      <c r="C24" t="s">
        <v>150</v>
      </c>
      <c r="D24" t="s">
        <v>151</v>
      </c>
      <c r="E24" t="s">
        <v>152</v>
      </c>
      <c r="F24" t="s">
        <v>153</v>
      </c>
      <c r="G24" s="39">
        <v>17.06</v>
      </c>
      <c r="H24" s="39">
        <v>17.06</v>
      </c>
      <c r="I24" s="39">
        <v>0</v>
      </c>
      <c r="J24" s="39">
        <f>G24-H24-I24</f>
      </c>
      <c r="K24" t="s">
        <v>96</v>
      </c>
      <c r="L24" t="s">
        <v>96</v>
      </c>
      <c r="M24" t="s">
        <v>96</v>
      </c>
    </row>
    <row r="25" spans="1:13" x14ac:dyDescent="0.25">
      <c r="A25">
        <v>24</v>
      </c>
      <c r="B25" s="38">
        <v>46293</v>
      </c>
      <c r="C25" t="s">
        <v>150</v>
      </c>
      <c r="D25" t="s">
        <v>154</v>
      </c>
      <c r="E25" t="s">
        <v>64</v>
      </c>
      <c r="F25" t="s">
        <v>65</v>
      </c>
      <c r="G25" s="39">
        <v>51.41</v>
      </c>
      <c r="H25" s="39">
        <v>51.41</v>
      </c>
      <c r="I25" s="39">
        <v>0</v>
      </c>
      <c r="J25" s="39">
        <f>G25-H25-I25</f>
      </c>
      <c r="K25" t="s">
        <v>96</v>
      </c>
      <c r="L25" t="s">
        <v>96</v>
      </c>
      <c r="M25" t="s">
        <v>96</v>
      </c>
    </row>
    <row r="26" spans="1:13" x14ac:dyDescent="0.25">
      <c r="A26">
        <v>25</v>
      </c>
      <c r="B26" s="38">
        <v>46295</v>
      </c>
      <c r="C26" t="s">
        <v>116</v>
      </c>
      <c r="D26" t="s">
        <v>155</v>
      </c>
      <c r="E26" t="s">
        <v>67</v>
      </c>
      <c r="F26" t="s">
        <v>96</v>
      </c>
      <c r="G26" s="39">
        <v>8.99</v>
      </c>
      <c r="H26" s="39">
        <v>8.99</v>
      </c>
      <c r="I26" s="39">
        <v>0</v>
      </c>
      <c r="J26" s="39">
        <f>G26-H26-I26</f>
      </c>
      <c r="K26" t="s">
        <v>96</v>
      </c>
      <c r="L26" t="s">
        <v>96</v>
      </c>
      <c r="M26" t="s">
        <v>96</v>
      </c>
    </row>
    <row r="27" spans="1:13" x14ac:dyDescent="0.25">
      <c r="A27">
        <v>26</v>
      </c>
      <c r="B27" s="38">
        <v>46295</v>
      </c>
      <c r="C27" t="s">
        <v>139</v>
      </c>
      <c r="D27" t="s">
        <v>156</v>
      </c>
      <c r="E27" t="s">
        <v>25</v>
      </c>
      <c r="F27" t="s">
        <v>69</v>
      </c>
      <c r="G27" s="39">
        <v>232.58</v>
      </c>
      <c r="H27" s="39">
        <v>232.58</v>
      </c>
      <c r="I27" s="39">
        <v>0</v>
      </c>
      <c r="J27" s="39">
        <f>G27-H27-I27</f>
      </c>
      <c r="K27" t="s">
        <v>96</v>
      </c>
      <c r="L27" t="s">
        <v>96</v>
      </c>
      <c r="M27" t="s">
        <v>96</v>
      </c>
    </row>
    <row r="28" spans="1:13" x14ac:dyDescent="0.25">
      <c r="A28">
        <v>27</v>
      </c>
      <c r="B28" s="38">
        <v>46302</v>
      </c>
      <c r="C28" t="s">
        <v>150</v>
      </c>
      <c r="D28" t="s">
        <v>157</v>
      </c>
      <c r="E28" t="s">
        <v>72</v>
      </c>
      <c r="F28" t="s">
        <v>96</v>
      </c>
      <c r="G28" s="39">
        <v>257.33</v>
      </c>
      <c r="H28" s="39">
        <v>257.33</v>
      </c>
      <c r="I28" s="39">
        <v>0</v>
      </c>
      <c r="J28" s="39">
        <f>G28-H28-I28</f>
      </c>
      <c r="K28" t="s">
        <v>96</v>
      </c>
      <c r="L28" t="s">
        <v>158</v>
      </c>
      <c r="M28" t="s">
        <v>96</v>
      </c>
    </row>
    <row r="29" spans="1:13" x14ac:dyDescent="0.25">
      <c r="A29">
        <v>28</v>
      </c>
      <c r="B29" s="38">
        <v>46302</v>
      </c>
      <c r="C29" t="s">
        <v>45</v>
      </c>
      <c r="D29" t="s">
        <v>159</v>
      </c>
      <c r="E29" t="s">
        <v>25</v>
      </c>
      <c r="F29" t="s">
        <v>96</v>
      </c>
      <c r="G29" s="39">
        <v>411.64</v>
      </c>
      <c r="H29" s="39">
        <v>0</v>
      </c>
      <c r="I29" s="39">
        <v>411.64</v>
      </c>
      <c r="J29" s="39">
        <f>G29-H29-I29</f>
      </c>
      <c r="K29" t="s">
        <v>96</v>
      </c>
      <c r="L29" t="s">
        <v>160</v>
      </c>
      <c r="M29" t="s">
        <v>161</v>
      </c>
    </row>
    <row r="30" spans="1:13" x14ac:dyDescent="0.25">
      <c r="A30">
        <v>29</v>
      </c>
      <c r="B30" s="38" t="s">
        <v>96</v>
      </c>
      <c r="C30" t="s">
        <v>127</v>
      </c>
      <c r="D30" t="s">
        <v>162</v>
      </c>
      <c r="E30" t="s">
        <v>163</v>
      </c>
      <c r="F30" t="s">
        <v>96</v>
      </c>
      <c r="G30" s="39">
        <v>3495</v>
      </c>
      <c r="H30" s="39">
        <v>0</v>
      </c>
      <c r="I30" s="39">
        <v>0</v>
      </c>
      <c r="J30" s="39">
        <f>G30-H30-I30</f>
      </c>
      <c r="K30" t="s">
        <v>88</v>
      </c>
      <c r="L30" t="s">
        <v>96</v>
      </c>
      <c r="M30" t="s">
        <v>96</v>
      </c>
    </row>
    <row r="31" spans="1:13" x14ac:dyDescent="0.25">
      <c r="A31">
        <v>30</v>
      </c>
      <c r="B31" s="38" t="s">
        <v>96</v>
      </c>
      <c r="C31" t="s">
        <v>127</v>
      </c>
      <c r="D31" t="s">
        <v>164</v>
      </c>
      <c r="E31" t="s">
        <v>78</v>
      </c>
      <c r="F31" t="s">
        <v>96</v>
      </c>
      <c r="G31" s="39">
        <v>458</v>
      </c>
      <c r="H31" s="39">
        <v>0</v>
      </c>
      <c r="I31" s="39">
        <v>0</v>
      </c>
      <c r="J31" s="39">
        <f>G31-H31-I31</f>
      </c>
      <c r="K31" t="s">
        <v>88</v>
      </c>
      <c r="L31" t="s">
        <v>96</v>
      </c>
      <c r="M31" t="s">
        <v>96</v>
      </c>
    </row>
    <row r="32" spans="1:13" x14ac:dyDescent="0.25">
      <c r="A32">
        <v>31</v>
      </c>
      <c r="B32" s="38" t="s">
        <v>96</v>
      </c>
      <c r="C32" t="s">
        <v>127</v>
      </c>
      <c r="D32" t="s">
        <v>165</v>
      </c>
      <c r="E32" t="s">
        <v>37</v>
      </c>
      <c r="F32" t="s">
        <v>96</v>
      </c>
      <c r="G32" s="39">
        <v>0</v>
      </c>
      <c r="H32" s="39">
        <v>0</v>
      </c>
      <c r="I32" s="39">
        <v>0</v>
      </c>
      <c r="J32" s="39">
        <f>G32-H32-I32</f>
      </c>
      <c r="K32" t="s">
        <v>166</v>
      </c>
      <c r="L32" t="s">
        <v>167</v>
      </c>
      <c r="M32" t="s">
        <v>96</v>
      </c>
    </row>
    <row r="33" spans="1:10" s="43" customFormat="1" x14ac:dyDescent="0.25">
      <c r="A33" s="44" t="s">
        <v>168</v>
      </c>
      <c r="B33" s="45"/>
      <c r="C33" s="43"/>
      <c r="G33" s="46">
        <f>SUM(G2:G32)</f>
      </c>
      <c r="H33" s="46">
        <f>SUM(H2:H32)</f>
      </c>
      <c r="I33" s="46">
        <f>SUM(I2:I32)</f>
      </c>
      <c r="J33" s="46">
        <f>SUM(J2:J32)</f>
      </c>
    </row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</sheetData>
  <autoFilter ref="A1:M32"/>
  <dataValidations count="2">
    <dataValidation type="list" allowBlank="1" sqref="C10:C232">
      <formula1>"Adquisición,Cierre / Legal,Techo / Exterior,Electricidad,Cocina,Baño,Piso,Puertas / Ventanas,Herramientas / Equipo,Misceláneos,Tenencia (CRIM / luz / agua / seguro)"</formula1>
    </dataValidation>
    <dataValidation type="list" allowBlank="1" sqref="C2:C232">
      <formula1>"Adquisición,Cierre / Legal,Techo / Exterior,Electricidad,Cocina,Baño,Piso,Puertas / Ventanas,Herramientas / Equipo,Misceláneos,Tenencia (CRIM / luz / agua / seguro)"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8A2B"/>
  </sheetPr>
  <dimension ref="A1:C25"/>
  <sheetFormatPr defaultRowHeight="15" outlineLevelRow="0" outlineLevelCol="0" x14ac:dyDescent="55"/>
  <cols>
    <col min="1" max="1" width="44" customWidth="1"/>
    <col min="2" max="2" width="18" customWidth="1"/>
    <col min="3" max="3" width="16" customWidth="1"/>
  </cols>
  <sheetData>
    <row r="1" spans="1:1" s="47" customFormat="1" x14ac:dyDescent="0.25">
      <c r="A1" s="47" t="s">
        <v>169</v>
      </c>
    </row>
    <row r="2" spans="1:1" s="48" customFormat="1" x14ac:dyDescent="0.25">
      <c r="A2" s="48" t="s">
        <v>170</v>
      </c>
    </row>
    <row r="3" spans="1:3" s="40" customFormat="1" x14ac:dyDescent="0.25">
      <c r="A3" s="40" t="s">
        <v>171</v>
      </c>
      <c r="B3" s="40" t="s">
        <v>172</v>
      </c>
      <c r="C3" s="40" t="s">
        <v>173</v>
      </c>
    </row>
    <row r="4" spans="1:3" x14ac:dyDescent="0.25">
      <c r="A4" t="s">
        <v>174</v>
      </c>
      <c r="B4" s="49">
        <v>260000</v>
      </c>
      <c r="C4" s="50" t="s">
        <v>175</v>
      </c>
    </row>
    <row r="5" spans="1:3" x14ac:dyDescent="0.25">
      <c r="A5" t="s">
        <v>176</v>
      </c>
      <c r="B5" s="51">
        <v>5</v>
      </c>
      <c r="C5" s="50" t="s">
        <v>177</v>
      </c>
    </row>
    <row r="6" spans="1:3" x14ac:dyDescent="0.25">
      <c r="A6" t="s">
        <v>178</v>
      </c>
      <c r="B6" s="49">
        <v>3000</v>
      </c>
      <c r="C6" s="50" t="s">
        <v>179</v>
      </c>
    </row>
    <row r="7" spans="1:3" x14ac:dyDescent="0.25">
      <c r="A7" t="s">
        <v>180</v>
      </c>
      <c r="B7" s="49">
        <v>25000</v>
      </c>
      <c r="C7" s="50" t="s">
        <v>181</v>
      </c>
    </row>
    <row r="8" spans="1:3" x14ac:dyDescent="0.25">
      <c r="A8" t="s">
        <v>182</v>
      </c>
      <c r="B8" s="51">
        <v>20</v>
      </c>
      <c r="C8" s="50" t="s">
        <v>183</v>
      </c>
    </row>
    <row r="9" spans="1:3" x14ac:dyDescent="0.25">
      <c r="A9" t="s">
        <v>184</v>
      </c>
      <c r="B9" s="51" t="s">
        <v>185</v>
      </c>
      <c r="C9" s="50" t="s">
        <v>186</v>
      </c>
    </row>
    <row r="11" spans="1:3" s="40" customFormat="1" x14ac:dyDescent="0.25">
      <c r="A11" s="40" t="s">
        <v>187</v>
      </c>
      <c r="B11" s="40" t="s">
        <v>96</v>
      </c>
      <c r="C11" s="40" t="s">
        <v>96</v>
      </c>
    </row>
    <row r="12" spans="1:2" x14ac:dyDescent="0.25">
      <c r="A12" t="s">
        <v>188</v>
      </c>
      <c r="B12" s="39">
        <f>SUMIFS('Gastos (App)'!$G$2:$G$32,'Gastos (App)'!$C$2:$C$32,"Adquisición")</f>
      </c>
    </row>
    <row r="13" spans="1:2" x14ac:dyDescent="0.25">
      <c r="A13" t="s">
        <v>189</v>
      </c>
      <c r="B13" s="39">
        <f>SUMIFS('Gastos (App)'!$G$2:$G$32,'Gastos (App)'!$C$2:$C$32,"Cierre / Legal")</f>
      </c>
    </row>
    <row r="14" spans="1:2" x14ac:dyDescent="0.25">
      <c r="A14" t="s">
        <v>190</v>
      </c>
      <c r="B14" s="39">
        <f>SUM('Gastos (App)'!$G$2:$G$32)-B12-B13</f>
      </c>
    </row>
    <row r="15" spans="1:2" x14ac:dyDescent="0.25">
      <c r="A15" t="s">
        <v>191</v>
      </c>
      <c r="B15" s="39">
        <f>SUM('Gastos (App)'!$G$2:$G$32)</f>
      </c>
    </row>
    <row r="16" spans="1:2" x14ac:dyDescent="0.25">
      <c r="A16" t="s">
        <v>192</v>
      </c>
      <c r="B16" s="39">
        <f>B4*B5/100+B6</f>
      </c>
    </row>
    <row r="17" spans="1:2" s="43" customFormat="1" x14ac:dyDescent="0.25">
      <c r="A17" s="43" t="s">
        <v>193</v>
      </c>
      <c r="B17" s="52">
        <f>B4-B16-B15</f>
      </c>
    </row>
    <row r="18" spans="1:2" x14ac:dyDescent="0.25">
      <c r="A18" t="s">
        <v>194</v>
      </c>
      <c r="B18" s="53">
        <f>IFERROR(B17/B15,0)</f>
      </c>
    </row>
    <row r="19" spans="1:2" x14ac:dyDescent="0.25">
      <c r="A19" t="s">
        <v>195</v>
      </c>
      <c r="B19" s="53">
        <f>IFERROR(B17/B4,0)</f>
      </c>
    </row>
    <row r="20" spans="1:2" x14ac:dyDescent="0.25">
      <c r="A20" t="s">
        <v>196</v>
      </c>
      <c r="B20" s="39">
        <f>(B15+B6)/(1-B5/100)</f>
      </c>
    </row>
    <row r="21" spans="1:2" x14ac:dyDescent="0.25">
      <c r="A21" t="s">
        <v>197</v>
      </c>
      <c r="B21" s="39">
        <f>B7-B14</f>
      </c>
    </row>
    <row r="22" spans="1:2" x14ac:dyDescent="0.25">
      <c r="A22" t="s">
        <v>198</v>
      </c>
      <c r="B22" s="39">
        <f>SUM('Gastos (App)'!$H$2:$I$32)</f>
      </c>
    </row>
    <row r="23" spans="1:2" x14ac:dyDescent="0.25">
      <c r="A23" t="s">
        <v>199</v>
      </c>
      <c r="B23" s="39">
        <f>SUM('Gastos (App)'!$J$2:$J$32)</f>
      </c>
    </row>
    <row r="24" spans="1:2" x14ac:dyDescent="0.25">
      <c r="A24" t="s">
        <v>200</v>
      </c>
      <c r="B24" s="39">
        <f>SUM('Gastos (App)'!$H$2:$H$32)</f>
      </c>
    </row>
    <row r="25" spans="1:2" x14ac:dyDescent="0.25">
      <c r="A25" t="s">
        <v>201</v>
      </c>
      <c r="B25" s="39">
        <f>SUM('Gastos (App)'!$I$2:$I$32)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Proyeccion</vt:lpstr>
      <vt:lpstr>Gastos (App)</vt:lpstr>
      <vt:lpstr>Resumen (App)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javier calderon</dc:creator>
  <cp:lastModifiedBy>jose javier calderon</cp:lastModifiedBy>
  <dcterms:created xsi:type="dcterms:W3CDTF">2026-08-06T15:59:53Z</dcterms:created>
  <dcterms:modified xsi:type="dcterms:W3CDTF">2026-10-12T23:01:18Z</dcterms:modified>
</cp:coreProperties>
</file>